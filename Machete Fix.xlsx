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fek.biran/Downloads/"/>
    </mc:Choice>
  </mc:AlternateContent>
  <xr:revisionPtr revIDLastSave="0" documentId="8_{1F50428E-BE2B-E643-9061-CD1B5FD8E69F}" xr6:coauthVersionLast="47" xr6:coauthVersionMax="47" xr10:uidLastSave="{00000000-0000-0000-0000-000000000000}"/>
  <bookViews>
    <workbookView xWindow="1500" yWindow="1400" windowWidth="27640" windowHeight="16680" xr2:uid="{F3D29243-9416-CA4D-8E66-7EC35ACB58EA}"/>
  </bookViews>
  <sheets>
    <sheet name="Machete Fi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D11" i="1" s="1"/>
  <c r="D16" i="1" l="1"/>
  <c r="D13" i="1"/>
  <c r="D18" i="1" s="1"/>
  <c r="D19" i="1" l="1"/>
  <c r="D21" i="1" s="1"/>
  <c r="D36" i="1" l="1"/>
  <c r="D37" i="1" s="1"/>
  <c r="D46" i="1" s="1"/>
  <c r="D47" i="1" s="1"/>
  <c r="D28" i="1"/>
  <c r="D31" i="1" s="1"/>
  <c r="D41" i="1" s="1"/>
  <c r="D42" i="1" s="1"/>
</calcChain>
</file>

<file path=xl/sharedStrings.xml><?xml version="1.0" encoding="utf-8"?>
<sst xmlns="http://schemas.openxmlformats.org/spreadsheetml/2006/main" count="55" uniqueCount="35">
  <si>
    <t>Machete - Calculation of macroeconomic risk potential. Similar to standard deviation - volatility. Serves as an initial basis for calculating risk assets such as government bonds and foreign currency.</t>
  </si>
  <si>
    <t>The machete is also used for rapid risk assessment of stock indices</t>
  </si>
  <si>
    <t>Parameter</t>
  </si>
  <si>
    <t>Explanation</t>
  </si>
  <si>
    <t>Parameter to change in Explanation</t>
  </si>
  <si>
    <t>Example</t>
  </si>
  <si>
    <t>The public debt</t>
  </si>
  <si>
    <t>Paramter to update</t>
  </si>
  <si>
    <t>The Calculation operation</t>
  </si>
  <si>
    <t>X</t>
  </si>
  <si>
    <t>To calculate the debt ratio</t>
  </si>
  <si>
    <t>debt ratio</t>
  </si>
  <si>
    <t>Financial inflation</t>
  </si>
  <si>
    <t>Risk-indifferent interest rate</t>
  </si>
  <si>
    <t>^</t>
  </si>
  <si>
    <t>The risk interest rate is the mathematical expression of the log-normal</t>
  </si>
  <si>
    <t>^3</t>
  </si>
  <si>
    <t>The log skew, the mathematical expression of the skew</t>
  </si>
  <si>
    <t>-</t>
  </si>
  <si>
    <t>The range of risk</t>
  </si>
  <si>
    <t>Sqrt</t>
  </si>
  <si>
    <t>Machete - the potential risk inherent in debt and inflation</t>
  </si>
  <si>
    <t>Risk potential is the fluctuation limit of an index, currency, or bond.</t>
  </si>
  <si>
    <t>For example-</t>
  </si>
  <si>
    <t>:</t>
  </si>
  <si>
    <t>Divide by  100 plus 1</t>
  </si>
  <si>
    <t>Machata coefficient for upper range</t>
  </si>
  <si>
    <t>Machata coefficient for lower range</t>
  </si>
  <si>
    <t>The Market Price of a Theoretical Asset</t>
  </si>
  <si>
    <t>x</t>
  </si>
  <si>
    <t>Multiplying the value by a factor for a upper range</t>
  </si>
  <si>
    <t>Upper limit</t>
  </si>
  <si>
    <t>Multiplying the value by a factor for a lower range</t>
  </si>
  <si>
    <t>Lower limit</t>
  </si>
  <si>
    <t>The part that we need to Fix: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</si>
</sst>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6"/>
      <color rgb="FFFF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9C1AF"/>
        <bgColor indexed="64"/>
      </patternFill>
    </fill>
    <fill>
      <patternFill patternType="solid">
        <fgColor rgb="FFC9B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8" borderId="1" xfId="0" applyFill="1" applyBorder="1" applyAlignment="1">
      <alignment wrapText="1"/>
    </xf>
    <xf numFmtId="0" fontId="0" fillId="0" borderId="1" xfId="0" applyBorder="1"/>
    <xf numFmtId="0" fontId="0" fillId="7" borderId="1" xfId="0" applyFill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4" borderId="1" xfId="0" applyFill="1" applyBorder="1"/>
    <xf numFmtId="0" fontId="0" fillId="6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/>
    <xf numFmtId="0" fontId="0" fillId="8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F195-B804-D047-B1C7-5E9DB61EB3F0}">
  <dimension ref="A1:D47"/>
  <sheetViews>
    <sheetView tabSelected="1" topLeftCell="A13" workbookViewId="0">
      <selection activeCell="B18" sqref="B18"/>
    </sheetView>
  </sheetViews>
  <sheetFormatPr baseColWidth="10" defaultRowHeight="16" x14ac:dyDescent="0.2"/>
  <cols>
    <col min="1" max="1" width="30.83203125" customWidth="1"/>
    <col min="2" max="2" width="47" customWidth="1"/>
    <col min="3" max="3" width="29.6640625" customWidth="1"/>
    <col min="4" max="4" width="33.6640625" customWidth="1"/>
  </cols>
  <sheetData>
    <row r="1" spans="1:4" ht="68" x14ac:dyDescent="0.2">
      <c r="B1" s="1" t="s">
        <v>0</v>
      </c>
    </row>
    <row r="2" spans="1:4" ht="34" x14ac:dyDescent="0.2">
      <c r="B2" s="1" t="s">
        <v>1</v>
      </c>
    </row>
    <row r="4" spans="1:4" ht="34" x14ac:dyDescent="0.2">
      <c r="A4" s="11" t="s">
        <v>2</v>
      </c>
      <c r="B4" s="11" t="s">
        <v>3</v>
      </c>
      <c r="C4" s="11" t="s">
        <v>4</v>
      </c>
      <c r="D4" s="11" t="s">
        <v>5</v>
      </c>
    </row>
    <row r="5" spans="1:4" x14ac:dyDescent="0.2">
      <c r="A5" s="9" t="s">
        <v>6</v>
      </c>
      <c r="B5" s="5"/>
      <c r="C5" s="12" t="s">
        <v>7</v>
      </c>
      <c r="D5" s="5">
        <v>122.49</v>
      </c>
    </row>
    <row r="6" spans="1:4" ht="17" x14ac:dyDescent="0.2">
      <c r="A6" s="10" t="s">
        <v>8</v>
      </c>
      <c r="B6" s="5"/>
      <c r="C6" s="5"/>
      <c r="D6" s="5" t="s">
        <v>9</v>
      </c>
    </row>
    <row r="7" spans="1:4" ht="17" x14ac:dyDescent="0.2">
      <c r="A7" s="6" t="s">
        <v>10</v>
      </c>
      <c r="B7" s="5"/>
      <c r="C7" s="5"/>
      <c r="D7" s="5">
        <v>2.5</v>
      </c>
    </row>
    <row r="8" spans="1:4" x14ac:dyDescent="0.2">
      <c r="A8" s="13" t="s">
        <v>11</v>
      </c>
      <c r="B8" s="5"/>
      <c r="C8" s="5"/>
      <c r="D8" s="5">
        <f>(D5*D7)/100</f>
        <v>3.0622499999999997</v>
      </c>
    </row>
    <row r="9" spans="1:4" ht="17" x14ac:dyDescent="0.2">
      <c r="A9" s="10" t="s">
        <v>8</v>
      </c>
      <c r="B9" s="5"/>
      <c r="C9" s="5"/>
      <c r="D9" s="5" t="s">
        <v>9</v>
      </c>
    </row>
    <row r="10" spans="1:4" x14ac:dyDescent="0.2">
      <c r="A10" s="9" t="s">
        <v>12</v>
      </c>
      <c r="B10" s="5"/>
      <c r="C10" s="12" t="s">
        <v>7</v>
      </c>
      <c r="D10" s="5">
        <v>2.9</v>
      </c>
    </row>
    <row r="11" spans="1:4" x14ac:dyDescent="0.2">
      <c r="A11" s="13" t="s">
        <v>13</v>
      </c>
      <c r="B11" s="5"/>
      <c r="C11" s="5"/>
      <c r="D11" s="5">
        <f>D10*D8</f>
        <v>8.8805249999999987</v>
      </c>
    </row>
    <row r="12" spans="1:4" ht="17" x14ac:dyDescent="0.2">
      <c r="A12" s="10" t="s">
        <v>8</v>
      </c>
      <c r="B12" s="5"/>
      <c r="C12" s="5"/>
      <c r="D12" s="5" t="s">
        <v>14</v>
      </c>
    </row>
    <row r="13" spans="1:4" ht="51" x14ac:dyDescent="0.2">
      <c r="A13" s="4" t="s">
        <v>15</v>
      </c>
      <c r="B13" s="5"/>
      <c r="C13" s="5"/>
      <c r="D13" s="5">
        <f>D11^2</f>
        <v>78.863724275624975</v>
      </c>
    </row>
    <row r="14" spans="1:4" x14ac:dyDescent="0.2">
      <c r="A14" s="13" t="s">
        <v>13</v>
      </c>
      <c r="B14" s="5"/>
      <c r="C14" s="5"/>
      <c r="D14" s="5">
        <v>8.8805250000000004</v>
      </c>
    </row>
    <row r="15" spans="1:4" ht="17" x14ac:dyDescent="0.2">
      <c r="A15" s="10" t="s">
        <v>8</v>
      </c>
      <c r="B15" s="5"/>
      <c r="C15" s="5"/>
      <c r="D15" s="5" t="s">
        <v>16</v>
      </c>
    </row>
    <row r="16" spans="1:4" ht="34" x14ac:dyDescent="0.2">
      <c r="A16" s="4" t="s">
        <v>17</v>
      </c>
      <c r="B16" s="5"/>
      <c r="C16" s="5"/>
      <c r="D16" s="5">
        <f>D11^3</f>
        <v>700.35127502279443</v>
      </c>
    </row>
    <row r="17" spans="1:4" ht="17" x14ac:dyDescent="0.2">
      <c r="A17" s="10" t="s">
        <v>8</v>
      </c>
      <c r="B17" s="5"/>
      <c r="C17" s="5"/>
      <c r="D17" s="5" t="s">
        <v>18</v>
      </c>
    </row>
    <row r="18" spans="1:4" ht="51" x14ac:dyDescent="0.2">
      <c r="A18" s="4" t="s">
        <v>15</v>
      </c>
      <c r="B18" s="5"/>
      <c r="C18" s="5"/>
      <c r="D18" s="5">
        <f>D13</f>
        <v>78.863724275624975</v>
      </c>
    </row>
    <row r="19" spans="1:4" ht="17" x14ac:dyDescent="0.2">
      <c r="A19" s="4" t="s">
        <v>19</v>
      </c>
      <c r="B19" s="5"/>
      <c r="C19" s="5"/>
      <c r="D19" s="5">
        <f>D16-D18</f>
        <v>621.48755074716951</v>
      </c>
    </row>
    <row r="20" spans="1:4" ht="17" x14ac:dyDescent="0.2">
      <c r="A20" s="10" t="s">
        <v>8</v>
      </c>
      <c r="B20" s="5"/>
      <c r="C20" s="5"/>
      <c r="D20" s="5" t="s">
        <v>20</v>
      </c>
    </row>
    <row r="21" spans="1:4" ht="34" x14ac:dyDescent="0.2">
      <c r="A21" s="4" t="s">
        <v>21</v>
      </c>
      <c r="B21" s="5"/>
      <c r="C21" s="5"/>
      <c r="D21" s="5">
        <f>SQRT(D19)</f>
        <v>24.929652038228884</v>
      </c>
    </row>
    <row r="22" spans="1:4" x14ac:dyDescent="0.2">
      <c r="A22" s="5"/>
      <c r="B22" s="5"/>
      <c r="C22" s="5"/>
      <c r="D22" s="5"/>
    </row>
    <row r="24" spans="1:4" ht="38" x14ac:dyDescent="0.4">
      <c r="A24" s="3" t="s">
        <v>22</v>
      </c>
      <c r="B24" s="14" t="s">
        <v>34</v>
      </c>
    </row>
    <row r="25" spans="1:4" ht="17" x14ac:dyDescent="0.2">
      <c r="A25" s="3" t="s">
        <v>23</v>
      </c>
    </row>
    <row r="27" spans="1:4" ht="34" x14ac:dyDescent="0.2">
      <c r="A27" s="2" t="s">
        <v>2</v>
      </c>
      <c r="B27" s="2" t="s">
        <v>3</v>
      </c>
      <c r="C27" s="2" t="s">
        <v>4</v>
      </c>
      <c r="D27" s="2" t="s">
        <v>5</v>
      </c>
    </row>
    <row r="28" spans="1:4" ht="34" x14ac:dyDescent="0.2">
      <c r="A28" s="4" t="s">
        <v>21</v>
      </c>
      <c r="B28" s="5"/>
      <c r="C28" s="5"/>
      <c r="D28" s="5">
        <f>D21</f>
        <v>24.929652038228884</v>
      </c>
    </row>
    <row r="29" spans="1:4" x14ac:dyDescent="0.2">
      <c r="A29" s="5"/>
      <c r="B29" s="5"/>
      <c r="C29" s="5"/>
      <c r="D29" s="5" t="s">
        <v>24</v>
      </c>
    </row>
    <row r="30" spans="1:4" ht="17" x14ac:dyDescent="0.2">
      <c r="A30" s="6" t="s">
        <v>25</v>
      </c>
      <c r="B30" s="5"/>
      <c r="C30" s="7"/>
      <c r="D30" s="5">
        <v>100</v>
      </c>
    </row>
    <row r="31" spans="1:4" ht="17" x14ac:dyDescent="0.2">
      <c r="A31" s="4" t="s">
        <v>26</v>
      </c>
      <c r="B31" s="5"/>
      <c r="C31" s="5"/>
      <c r="D31" s="5">
        <f>(D28/D30)+1</f>
        <v>1.2492965203822888</v>
      </c>
    </row>
    <row r="32" spans="1:4" x14ac:dyDescent="0.2">
      <c r="A32" s="8"/>
      <c r="B32" s="5"/>
      <c r="C32" s="5"/>
      <c r="D32" s="5"/>
    </row>
    <row r="33" spans="1:4" x14ac:dyDescent="0.2">
      <c r="A33" s="5"/>
      <c r="B33" s="5"/>
      <c r="C33" s="5"/>
      <c r="D33" s="5"/>
    </row>
    <row r="34" spans="1:4" x14ac:dyDescent="0.2">
      <c r="A34" s="5"/>
      <c r="B34" s="5"/>
      <c r="C34" s="7"/>
      <c r="D34" s="5">
        <v>100</v>
      </c>
    </row>
    <row r="35" spans="1:4" x14ac:dyDescent="0.2">
      <c r="A35" s="5"/>
      <c r="B35" s="5"/>
      <c r="C35" s="5"/>
      <c r="D35" s="5" t="s">
        <v>18</v>
      </c>
    </row>
    <row r="36" spans="1:4" ht="34" x14ac:dyDescent="0.2">
      <c r="A36" s="4" t="s">
        <v>21</v>
      </c>
      <c r="B36" s="5"/>
      <c r="C36" s="5"/>
      <c r="D36" s="5">
        <f>D21</f>
        <v>24.929652038228884</v>
      </c>
    </row>
    <row r="37" spans="1:4" ht="17" x14ac:dyDescent="0.2">
      <c r="A37" s="4" t="s">
        <v>27</v>
      </c>
      <c r="B37" s="5"/>
      <c r="C37" s="5"/>
      <c r="D37" s="5">
        <f>(D34-D36)/100</f>
        <v>0.75070347961771122</v>
      </c>
    </row>
    <row r="38" spans="1:4" x14ac:dyDescent="0.2">
      <c r="A38" s="5"/>
      <c r="B38" s="5"/>
      <c r="C38" s="5"/>
      <c r="D38" s="5"/>
    </row>
    <row r="39" spans="1:4" x14ac:dyDescent="0.2">
      <c r="A39" s="9" t="s">
        <v>28</v>
      </c>
      <c r="B39" s="5"/>
      <c r="C39" s="5"/>
      <c r="D39" s="5">
        <v>120</v>
      </c>
    </row>
    <row r="40" spans="1:4" ht="17" x14ac:dyDescent="0.2">
      <c r="A40" s="10" t="s">
        <v>8</v>
      </c>
      <c r="B40" s="5"/>
      <c r="C40" s="5"/>
      <c r="D40" s="5" t="s">
        <v>29</v>
      </c>
    </row>
    <row r="41" spans="1:4" ht="34" x14ac:dyDescent="0.2">
      <c r="A41" s="4" t="s">
        <v>30</v>
      </c>
      <c r="B41" s="5"/>
      <c r="C41" s="5"/>
      <c r="D41" s="5">
        <f>D31</f>
        <v>1.2492965203822888</v>
      </c>
    </row>
    <row r="42" spans="1:4" ht="17" x14ac:dyDescent="0.2">
      <c r="A42" s="4" t="s">
        <v>31</v>
      </c>
      <c r="B42" s="5"/>
      <c r="C42" s="5"/>
      <c r="D42" s="5">
        <f>D39*D41</f>
        <v>149.91558244587466</v>
      </c>
    </row>
    <row r="43" spans="1:4" x14ac:dyDescent="0.2">
      <c r="A43" s="5"/>
      <c r="B43" s="5"/>
      <c r="C43" s="5"/>
      <c r="D43" s="5"/>
    </row>
    <row r="44" spans="1:4" x14ac:dyDescent="0.2">
      <c r="A44" s="9" t="s">
        <v>28</v>
      </c>
      <c r="B44" s="5"/>
      <c r="C44" s="5"/>
      <c r="D44" s="5">
        <v>120</v>
      </c>
    </row>
    <row r="45" spans="1:4" ht="17" x14ac:dyDescent="0.2">
      <c r="A45" s="10" t="s">
        <v>8</v>
      </c>
      <c r="B45" s="5"/>
      <c r="C45" s="5"/>
      <c r="D45" s="5" t="s">
        <v>29</v>
      </c>
    </row>
    <row r="46" spans="1:4" ht="34" x14ac:dyDescent="0.2">
      <c r="A46" s="4" t="s">
        <v>32</v>
      </c>
      <c r="B46" s="5"/>
      <c r="C46" s="5"/>
      <c r="D46" s="5">
        <f>D37</f>
        <v>0.75070347961771122</v>
      </c>
    </row>
    <row r="47" spans="1:4" ht="17" x14ac:dyDescent="0.2">
      <c r="A47" s="4" t="s">
        <v>33</v>
      </c>
      <c r="B47" s="5"/>
      <c r="C47" s="5"/>
      <c r="D47" s="5">
        <f>120*D46</f>
        <v>90.084417554125352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Machete 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אופק בירן</dc:creator>
  <cp:lastModifiedBy>אופק בירן</cp:lastModifiedBy>
  <dcterms:created xsi:type="dcterms:W3CDTF">2026-06-24T17:56:08Z</dcterms:created>
  <dcterms:modified xsi:type="dcterms:W3CDTF">2026-06-24T17:57:15Z</dcterms:modified>
</cp:coreProperties>
</file>